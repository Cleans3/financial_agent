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OMP7016\"/>
    </mc:Choice>
  </mc:AlternateContent>
  <xr:revisionPtr revIDLastSave="0" documentId="13_ncr:1_{B0747019-B276-4F89-A475-2BE7297D42F2}" xr6:coauthVersionLast="47" xr6:coauthVersionMax="47" xr10:uidLastSave="{00000000-0000-0000-0000-000000000000}"/>
  <bookViews>
    <workbookView xWindow="-108" yWindow="-108" windowWidth="23256" windowHeight="12456" xr2:uid="{D64F2801-59FD-42DC-8D6D-07A6C57BACD8}"/>
  </bookViews>
  <sheets>
    <sheet name="Sheet 1" sheetId="9" r:id="rId1"/>
  </sheets>
  <definedNames>
    <definedName name="solver_adj" localSheetId="0" hidden="1">'Sheet 1'!$F$2:$I$5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0" localSheetId="0" hidden="1">'Sheet 1'!$M$2:$M$5</definedName>
    <definedName name="solver_lhs1" localSheetId="0" hidden="1">'Sheet 1'!$E$2:$E$5</definedName>
    <definedName name="solver_lhs10" localSheetId="0" hidden="1">'Sheet 1'!$I$5</definedName>
    <definedName name="solver_lhs11" localSheetId="0" hidden="1">'Sheet 1'!$J$2:$J$4</definedName>
    <definedName name="solver_lhs12" localSheetId="0" hidden="1">'Sheet 1'!$J$5</definedName>
    <definedName name="solver_lhs13" localSheetId="0" hidden="1">'Sheet 1'!$M$2:$M$5</definedName>
    <definedName name="solver_lhs14" localSheetId="0" hidden="1">'Sheet 1'!$M$2:$M$5</definedName>
    <definedName name="solver_lhs15" localSheetId="0" hidden="1">'Sheet 1'!$M$2:$M$5</definedName>
    <definedName name="solver_lhs16" localSheetId="0" hidden="1">'Sheet 1'!$I$3</definedName>
    <definedName name="solver_lhs17" localSheetId="0" hidden="1">'Sheet 1'!$I$4</definedName>
    <definedName name="solver_lhs18" localSheetId="0" hidden="1">'Sheet 1'!$M$2:$M$5</definedName>
    <definedName name="solver_lhs19" localSheetId="0" hidden="1">'Sheet 1'!$M$2:$M$5</definedName>
    <definedName name="solver_lhs2" localSheetId="0" hidden="1">'Sheet 1'!$F$2:$I$5</definedName>
    <definedName name="solver_lhs20" localSheetId="0" hidden="1">'Sheet 1'!$M$2:$M$5</definedName>
    <definedName name="solver_lhs21" localSheetId="0" hidden="1">'Sheet 1'!$M$2:$M$5</definedName>
    <definedName name="solver_lhs22" localSheetId="0" hidden="1">'Sheet 1'!$M$2:$M$5</definedName>
    <definedName name="solver_lhs23" localSheetId="0" hidden="1">'Sheet 1'!$M$2:$M$5</definedName>
    <definedName name="solver_lhs3" localSheetId="0" hidden="1">'Sheet 1'!$G$2</definedName>
    <definedName name="solver_lhs4" localSheetId="0" hidden="1">'Sheet 1'!$G$3</definedName>
    <definedName name="solver_lhs5" localSheetId="0" hidden="1">'Sheet 1'!$G$4</definedName>
    <definedName name="solver_lhs6" localSheetId="0" hidden="1">'Sheet 1'!$G$5</definedName>
    <definedName name="solver_lhs7" localSheetId="0" hidden="1">'Sheet 1'!$I$2</definedName>
    <definedName name="solver_lhs8" localSheetId="0" hidden="1">'Sheet 1'!$I$3</definedName>
    <definedName name="solver_lhs9" localSheetId="0" hidden="1">'Sheet 1'!$I$4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13</definedName>
    <definedName name="solver_nwt" localSheetId="0" hidden="1">1</definedName>
    <definedName name="solver_opt" localSheetId="0" hidden="1">'Sheet 1'!$B$27</definedName>
    <definedName name="solver_pre" localSheetId="0" hidden="1">0.000001</definedName>
    <definedName name="solver_rbv" localSheetId="0" hidden="1">2</definedName>
    <definedName name="solver_rel0" localSheetId="0" hidden="1">1</definedName>
    <definedName name="solver_rel1" localSheetId="0" hidden="1">3</definedName>
    <definedName name="solver_rel10" localSheetId="0" hidden="1">1</definedName>
    <definedName name="solver_rel11" localSheetId="0" hidden="1">3</definedName>
    <definedName name="solver_rel12" localSheetId="0" hidden="1">3</definedName>
    <definedName name="solver_rel13" localSheetId="0" hidden="1">1</definedName>
    <definedName name="solver_rel14" localSheetId="0" hidden="1">1</definedName>
    <definedName name="solver_rel15" localSheetId="0" hidden="1">1</definedName>
    <definedName name="solver_rel16" localSheetId="0" hidden="1">1</definedName>
    <definedName name="solver_rel17" localSheetId="0" hidden="1">1</definedName>
    <definedName name="solver_rel18" localSheetId="0" hidden="1">1</definedName>
    <definedName name="solver_rel19" localSheetId="0" hidden="1">1</definedName>
    <definedName name="solver_rel2" localSheetId="0" hidden="1">4</definedName>
    <definedName name="solver_rel20" localSheetId="0" hidden="1">1</definedName>
    <definedName name="solver_rel21" localSheetId="0" hidden="1">1</definedName>
    <definedName name="solver_rel22" localSheetId="0" hidden="1">1</definedName>
    <definedName name="solver_rel23" localSheetId="0" hidden="1">1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el9" localSheetId="0" hidden="1">1</definedName>
    <definedName name="solver_rhs0" localSheetId="0" hidden="1">'Sheet 1'!$L$2:$L$5</definedName>
    <definedName name="solver_rhs1" localSheetId="0" hidden="1">0</definedName>
    <definedName name="solver_rhs10" localSheetId="0" hidden="1">'Sheet 1'!$B$23*'Sheet 1'!$E$5</definedName>
    <definedName name="solver_rhs11" localSheetId="0" hidden="1">0</definedName>
    <definedName name="solver_rhs12" localSheetId="0" hidden="1">'Sheet 1'!$B$21</definedName>
    <definedName name="solver_rhs13" localSheetId="0" hidden="1">'Sheet 1'!$L$2:$L$5</definedName>
    <definedName name="solver_rhs14" localSheetId="0" hidden="1">'Sheet 1'!$L$2:$L$5</definedName>
    <definedName name="solver_rhs15" localSheetId="0" hidden="1">'Sheet 1'!$L$2:$L$5</definedName>
    <definedName name="solver_rhs16" localSheetId="0" hidden="1">'Sheet 1'!$B$23 * 'Sheet 1'!$E$3</definedName>
    <definedName name="solver_rhs17" localSheetId="0" hidden="1">'Sheet 1'!$B$23 * 'Sheet 1'!$E$4</definedName>
    <definedName name="solver_rhs18" localSheetId="0" hidden="1">'Sheet 1'!$L$2:$L$5</definedName>
    <definedName name="solver_rhs19" localSheetId="0" hidden="1">'Sheet 1'!$L$2:$L$5</definedName>
    <definedName name="solver_rhs2" localSheetId="0" hidden="1">"integer"</definedName>
    <definedName name="solver_rhs20" localSheetId="0" hidden="1">'Sheet 1'!$L$2:$L$5</definedName>
    <definedName name="solver_rhs21" localSheetId="0" hidden="1">'Sheet 1'!$L$2:$L$5</definedName>
    <definedName name="solver_rhs22" localSheetId="0" hidden="1">'Sheet 1'!$L$2:$L$5</definedName>
    <definedName name="solver_rhs23" localSheetId="0" hidden="1">'Sheet 1'!$L$2:$L$5</definedName>
    <definedName name="solver_rhs3" localSheetId="0" hidden="1">'Sheet 1'!$B$25*'Sheet 1'!$B$19</definedName>
    <definedName name="solver_rhs4" localSheetId="0" hidden="1">'Sheet 1'!$B$25*'Sheet 1'!$E$2</definedName>
    <definedName name="solver_rhs5" localSheetId="0" hidden="1">'Sheet 1'!$B$25*'Sheet 1'!$E$3</definedName>
    <definedName name="solver_rhs6" localSheetId="0" hidden="1">'Sheet 1'!$B$25*'Sheet 1'!$E$4</definedName>
    <definedName name="solver_rhs7" localSheetId="0" hidden="1">'Sheet 1'!$B$23*'Sheet 1'!$E$2</definedName>
    <definedName name="solver_rhs8" localSheetId="0" hidden="1">'Sheet 1'!$B$23*'Sheet 1'!$E$3</definedName>
    <definedName name="solver_rhs9" localSheetId="0" hidden="1">'Sheet 1'!$B$23*'Sheet 1'!$E$4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9" l="1"/>
  <c r="I39" i="9"/>
  <c r="G38" i="9"/>
  <c r="G37" i="9"/>
  <c r="G36" i="9"/>
  <c r="I35" i="9"/>
  <c r="G35" i="9"/>
  <c r="G34" i="9"/>
  <c r="G33" i="9"/>
  <c r="G32" i="9"/>
  <c r="G31" i="9"/>
  <c r="G30" i="9"/>
  <c r="G29" i="9"/>
  <c r="G28" i="9"/>
  <c r="G27" i="9"/>
  <c r="I23" i="9"/>
  <c r="I20" i="9"/>
  <c r="I19" i="9"/>
  <c r="J14" i="9"/>
  <c r="H14" i="9"/>
  <c r="F14" i="9"/>
  <c r="E14" i="9"/>
  <c r="J13" i="9"/>
  <c r="H13" i="9"/>
  <c r="F13" i="9"/>
  <c r="E13" i="9"/>
  <c r="J12" i="9"/>
  <c r="H12" i="9"/>
  <c r="F12" i="9"/>
  <c r="E12" i="9"/>
  <c r="J11" i="9"/>
  <c r="H11" i="9"/>
  <c r="F11" i="9"/>
  <c r="E11" i="9"/>
  <c r="M5" i="9"/>
  <c r="M4" i="9"/>
  <c r="M3" i="9"/>
  <c r="M2" i="9"/>
  <c r="J2" i="9"/>
  <c r="J3" i="9" s="1"/>
  <c r="J4" i="9" s="1"/>
  <c r="J5" i="9" s="1"/>
  <c r="G26" i="9" s="1"/>
  <c r="E2" i="9"/>
  <c r="E3" i="9" s="1"/>
  <c r="L3" i="9" s="1"/>
  <c r="G12" i="9" l="1"/>
  <c r="I31" i="9"/>
  <c r="G20" i="9"/>
  <c r="I37" i="9"/>
  <c r="G19" i="9"/>
  <c r="J15" i="9"/>
  <c r="I26" i="9"/>
  <c r="I21" i="9"/>
  <c r="I32" i="9"/>
  <c r="E15" i="9"/>
  <c r="F15" i="9"/>
  <c r="I27" i="9"/>
  <c r="G11" i="9"/>
  <c r="H15" i="9"/>
  <c r="I28" i="9"/>
  <c r="I36" i="9"/>
  <c r="G39" i="9"/>
  <c r="I11" i="9"/>
  <c r="I24" i="9"/>
  <c r="I14" i="9"/>
  <c r="I25" i="9"/>
  <c r="G25" i="9"/>
  <c r="G24" i="9"/>
  <c r="G23" i="9"/>
  <c r="I12" i="9"/>
  <c r="I13" i="9"/>
  <c r="L2" i="9"/>
  <c r="E4" i="9"/>
  <c r="I29" i="9" l="1"/>
  <c r="I38" i="9"/>
  <c r="I33" i="9"/>
  <c r="I22" i="9"/>
  <c r="G13" i="9"/>
  <c r="G21" i="9"/>
  <c r="I15" i="9"/>
  <c r="L4" i="9"/>
  <c r="E5" i="9"/>
  <c r="G14" i="9" l="1"/>
  <c r="G15" i="9" s="1"/>
  <c r="I30" i="9"/>
  <c r="I34" i="9"/>
  <c r="G22" i="9"/>
  <c r="L5" i="9"/>
</calcChain>
</file>

<file path=xl/sharedStrings.xml><?xml version="1.0" encoding="utf-8"?>
<sst xmlns="http://schemas.openxmlformats.org/spreadsheetml/2006/main" count="109" uniqueCount="89">
  <si>
    <t>Required Ending Inventory</t>
  </si>
  <si>
    <t>Regular Hours/Worker</t>
  </si>
  <si>
    <t>Max OT Hours/Worker</t>
  </si>
  <si>
    <t>Hire Cost</t>
  </si>
  <si>
    <t>Fire Cost</t>
  </si>
  <si>
    <t>Regular Wage</t>
  </si>
  <si>
    <t>OT Cost</t>
  </si>
  <si>
    <t>Material Cost</t>
  </si>
  <si>
    <t>Iventory Cost</t>
  </si>
  <si>
    <t>Fixed Warehouse Cost</t>
  </si>
  <si>
    <t>Month</t>
  </si>
  <si>
    <t>Workers W</t>
  </si>
  <si>
    <t>Hires H</t>
  </si>
  <si>
    <t>Fires F</t>
  </si>
  <si>
    <t>Production P</t>
  </si>
  <si>
    <t>OT Hours OT</t>
  </si>
  <si>
    <t>Inventory I</t>
  </si>
  <si>
    <t>Available Hours</t>
  </si>
  <si>
    <t>Required Hours</t>
  </si>
  <si>
    <t>Hours per Unit</t>
  </si>
  <si>
    <t>Total Cost</t>
  </si>
  <si>
    <t>Cost Calculations</t>
  </si>
  <si>
    <t>Hiring</t>
  </si>
  <si>
    <t>Firing</t>
  </si>
  <si>
    <t>Regular Work Time</t>
  </si>
  <si>
    <t xml:space="preserve">Overtime </t>
  </si>
  <si>
    <t>Inventory</t>
  </si>
  <si>
    <t>Production</t>
  </si>
  <si>
    <t>Total</t>
  </si>
  <si>
    <t>Constraints</t>
  </si>
  <si>
    <t>Inequality</t>
  </si>
  <si>
    <t>RHS</t>
  </si>
  <si>
    <t>W1 = W0 + H1 - F1</t>
  </si>
  <si>
    <t>=</t>
  </si>
  <si>
    <t>W2 = W1 + H2 - F2</t>
  </si>
  <si>
    <t>W3 = W2 + H3 - F3</t>
  </si>
  <si>
    <t>W4 = W3 + H4 - F4</t>
  </si>
  <si>
    <t>I1 = I0 + P1 - D1</t>
  </si>
  <si>
    <t>I2 = I1 + P2 - D2</t>
  </si>
  <si>
    <t>I3 = I2 + P3 - D3</t>
  </si>
  <si>
    <t>I4 = I3 + P4 - D4</t>
  </si>
  <si>
    <t>P1 &lt;= (160W1 + O1)/4</t>
  </si>
  <si>
    <t>P2 &lt;= (160W2 + O2)/4</t>
  </si>
  <si>
    <t>P3 &lt;= (160W3 + O3)/4</t>
  </si>
  <si>
    <t>P4 &lt;= (160W4 + O4)/4</t>
  </si>
  <si>
    <t>O1 &lt;= 10W1</t>
  </si>
  <si>
    <t>O2 &lt;= 10W2</t>
  </si>
  <si>
    <t>O3 &lt;= 10W3</t>
  </si>
  <si>
    <t>O4 &lt;= 10W4</t>
  </si>
  <si>
    <t>F1 &lt;= 0.2W0</t>
  </si>
  <si>
    <t>F2 &lt;= 0.2W1</t>
  </si>
  <si>
    <t>F3 &lt;= 0.2W2</t>
  </si>
  <si>
    <t>F4 &lt;= 0.2W3</t>
  </si>
  <si>
    <t>I4 &gt;= 500</t>
  </si>
  <si>
    <t>(Workplace balance for Month 1)</t>
  </si>
  <si>
    <t>(Workplace balance for Month 2)</t>
  </si>
  <si>
    <t>(Workplace balance for Month 3)</t>
  </si>
  <si>
    <t>(Workplace balance for Month 4)</t>
  </si>
  <si>
    <t>(Inventory balance for Month 1)</t>
  </si>
  <si>
    <t>(Inventory balance for Month 2)</t>
  </si>
  <si>
    <t>(Inventory balance for Month 3)</t>
  </si>
  <si>
    <t>(Inventory balance for Month 4)</t>
  </si>
  <si>
    <t>(Regular working time capacity  for Month 1)</t>
  </si>
  <si>
    <t>(Regular working time capacity  for Month 2)</t>
  </si>
  <si>
    <t>(Regular working time capacity  for Month 3)</t>
  </si>
  <si>
    <t>(Regular working time capacity  for Month 4)</t>
  </si>
  <si>
    <t>(Overtime limits for Month 1)</t>
  </si>
  <si>
    <t>(Overtime limits for Month 2)</t>
  </si>
  <si>
    <t>(Overtime limits for Month 3)</t>
  </si>
  <si>
    <t>(Overtime limits for Month 4)</t>
  </si>
  <si>
    <t>(Layoff limit s for Month 1)</t>
  </si>
  <si>
    <t>(Layoff limit s for Month 3)</t>
  </si>
  <si>
    <t>(Layoff limit s for Month 4)</t>
  </si>
  <si>
    <t>(Layoff limit s for Month 2)</t>
  </si>
  <si>
    <t>(Minimum ending inventory)</t>
  </si>
  <si>
    <t>(None-negativity)</t>
  </si>
  <si>
    <t>LHS</t>
  </si>
  <si>
    <t>≤</t>
  </si>
  <si>
    <t>≥</t>
  </si>
  <si>
    <t>Month 1</t>
  </si>
  <si>
    <t xml:space="preserve">Month 2 </t>
  </si>
  <si>
    <t xml:space="preserve">Month 3 </t>
  </si>
  <si>
    <t>Month 4</t>
  </si>
  <si>
    <t>Demand</t>
  </si>
  <si>
    <t>Cost Parameters</t>
  </si>
  <si>
    <t xml:space="preserve">On-hand Provied Information </t>
  </si>
  <si>
    <t>Maximum layoff fraction</t>
  </si>
  <si>
    <t>Initial Workers (W0)</t>
  </si>
  <si>
    <t>Initial Inventory (I0)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</si>
</sst>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 applyAlignment="1">
      <alignment vertical="center" wrapText="1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0" fontId="2" fillId="6" borderId="0" xfId="0" applyFont="1" applyFill="1"/>
    <xf numFmtId="0" fontId="0" fillId="0" borderId="9" xfId="0" applyBorder="1"/>
    <xf numFmtId="0" fontId="0" fillId="0" borderId="2" xfId="0" applyBorder="1"/>
    <xf numFmtId="0" fontId="3" fillId="7" borderId="7" xfId="0" applyFont="1" applyFill="1" applyBorder="1"/>
    <xf numFmtId="0" fontId="3" fillId="7" borderId="0" xfId="0" applyFont="1" applyFill="1"/>
    <xf numFmtId="0" fontId="2" fillId="7" borderId="2" xfId="0" applyFont="1" applyFill="1" applyBorder="1" applyAlignment="1">
      <alignment horizontal="center"/>
    </xf>
    <xf numFmtId="0" fontId="3" fillId="7" borderId="8" xfId="0" applyFont="1" applyFill="1" applyBorder="1"/>
    <xf numFmtId="0" fontId="0" fillId="5" borderId="0" xfId="0" applyFill="1" applyAlignment="1">
      <alignment horizontal="center"/>
    </xf>
    <xf numFmtId="0" fontId="2" fillId="4" borderId="11" xfId="0" applyFont="1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D3D66-8755-413E-B231-9E40AA8BF75A}">
  <dimension ref="A1:U40"/>
  <sheetViews>
    <sheetView tabSelected="1" zoomScale="70" zoomScaleNormal="70" workbookViewId="0">
      <selection activeCell="X29" sqref="X29"/>
    </sheetView>
  </sheetViews>
  <sheetFormatPr defaultRowHeight="14.4" x14ac:dyDescent="0.3"/>
  <cols>
    <col min="1" max="1" width="26.33203125" customWidth="1"/>
    <col min="2" max="2" width="11.44140625" customWidth="1"/>
    <col min="4" max="4" width="13.44140625" customWidth="1"/>
    <col min="5" max="5" width="18.33203125" customWidth="1"/>
    <col min="6" max="6" width="12.5546875" customWidth="1"/>
    <col min="7" max="7" width="18.88671875" customWidth="1"/>
    <col min="8" max="8" width="14.21875" customWidth="1"/>
    <col min="9" max="9" width="16.21875" customWidth="1"/>
    <col min="10" max="10" width="12.109375" customWidth="1"/>
    <col min="11" max="11" width="15.21875" customWidth="1"/>
    <col min="12" max="12" width="15.88671875" customWidth="1"/>
    <col min="13" max="13" width="16.21875" customWidth="1"/>
  </cols>
  <sheetData>
    <row r="1" spans="1:13" x14ac:dyDescent="0.3">
      <c r="A1" s="8" t="s">
        <v>10</v>
      </c>
      <c r="B1" s="8" t="s">
        <v>83</v>
      </c>
      <c r="D1" s="5" t="s">
        <v>10</v>
      </c>
      <c r="E1" s="5" t="s">
        <v>11</v>
      </c>
      <c r="F1" s="5" t="s">
        <v>12</v>
      </c>
      <c r="G1" s="5" t="s">
        <v>13</v>
      </c>
      <c r="H1" s="5" t="s">
        <v>14</v>
      </c>
      <c r="I1" s="5" t="s">
        <v>15</v>
      </c>
      <c r="J1" s="5" t="s">
        <v>16</v>
      </c>
      <c r="L1" s="8" t="s">
        <v>17</v>
      </c>
      <c r="M1" s="8" t="s">
        <v>18</v>
      </c>
    </row>
    <row r="2" spans="1:13" x14ac:dyDescent="0.3">
      <c r="A2" s="6" t="s">
        <v>79</v>
      </c>
      <c r="B2" s="7">
        <v>7000</v>
      </c>
      <c r="D2" s="1">
        <v>1</v>
      </c>
      <c r="E2" s="1">
        <f xml:space="preserve"> $B$19 + F2 - G2</f>
        <v>153</v>
      </c>
      <c r="F2" s="1">
        <v>40</v>
      </c>
      <c r="G2" s="1">
        <v>0</v>
      </c>
      <c r="H2" s="1">
        <v>6463</v>
      </c>
      <c r="I2" s="1">
        <v>1372</v>
      </c>
      <c r="J2" s="1">
        <f xml:space="preserve"> $B$20 + H2 - $B$2</f>
        <v>0</v>
      </c>
      <c r="L2" s="3">
        <f xml:space="preserve"> E2 * $B$22 + I2</f>
        <v>25852</v>
      </c>
      <c r="M2" s="3">
        <f xml:space="preserve"> H2 * $B$24</f>
        <v>25852</v>
      </c>
    </row>
    <row r="3" spans="1:13" x14ac:dyDescent="0.3">
      <c r="A3" s="6" t="s">
        <v>80</v>
      </c>
      <c r="B3" s="7">
        <v>2000</v>
      </c>
      <c r="D3" s="1">
        <v>2</v>
      </c>
      <c r="E3" s="1">
        <f xml:space="preserve"> E2 + F3 - G3</f>
        <v>123</v>
      </c>
      <c r="F3" s="1">
        <v>0</v>
      </c>
      <c r="G3" s="1">
        <v>30</v>
      </c>
      <c r="H3" s="1">
        <v>3540</v>
      </c>
      <c r="I3" s="1">
        <v>0</v>
      </c>
      <c r="J3" s="1">
        <f xml:space="preserve"> J2 + H3 - $B$3</f>
        <v>1540</v>
      </c>
      <c r="L3" s="3">
        <f xml:space="preserve"> E3 * $B$22 + I3</f>
        <v>19680</v>
      </c>
      <c r="M3" s="3">
        <f xml:space="preserve"> H3 * $B$24</f>
        <v>14160</v>
      </c>
    </row>
    <row r="4" spans="1:13" x14ac:dyDescent="0.3">
      <c r="A4" s="6" t="s">
        <v>81</v>
      </c>
      <c r="B4" s="7">
        <v>5500</v>
      </c>
      <c r="D4" s="1">
        <v>3</v>
      </c>
      <c r="E4" s="1">
        <f xml:space="preserve"> E3 + F4 - G4</f>
        <v>99</v>
      </c>
      <c r="F4" s="1">
        <v>0</v>
      </c>
      <c r="G4" s="1">
        <v>24</v>
      </c>
      <c r="H4" s="1">
        <v>3960</v>
      </c>
      <c r="I4" s="1">
        <v>0</v>
      </c>
      <c r="J4" s="1">
        <f xml:space="preserve"> J3 + H4 - $B$4</f>
        <v>0</v>
      </c>
      <c r="L4" s="3">
        <f xml:space="preserve"> E4 * $B$22 + I4</f>
        <v>15840</v>
      </c>
      <c r="M4" s="3">
        <f xml:space="preserve"> H4 * $B$24</f>
        <v>15840</v>
      </c>
    </row>
    <row r="5" spans="1:13" x14ac:dyDescent="0.3">
      <c r="A5" s="6" t="s">
        <v>82</v>
      </c>
      <c r="B5" s="7">
        <v>1500</v>
      </c>
      <c r="D5" s="1">
        <v>4</v>
      </c>
      <c r="E5" s="1">
        <f xml:space="preserve"> E4 + F5 - G5</f>
        <v>99</v>
      </c>
      <c r="F5" s="1">
        <v>0</v>
      </c>
      <c r="G5" s="1">
        <v>0</v>
      </c>
      <c r="H5" s="1">
        <v>2000</v>
      </c>
      <c r="I5" s="1">
        <v>0</v>
      </c>
      <c r="J5" s="1">
        <f xml:space="preserve"> J4 + H5 - $B$5</f>
        <v>500</v>
      </c>
      <c r="L5" s="3">
        <f xml:space="preserve"> E5 * $B$22 + I5</f>
        <v>15840</v>
      </c>
      <c r="M5" s="3">
        <f xml:space="preserve"> H5 * $B$24</f>
        <v>8000</v>
      </c>
    </row>
    <row r="7" spans="1:13" x14ac:dyDescent="0.3">
      <c r="A7" s="27" t="s">
        <v>84</v>
      </c>
      <c r="B7" s="27"/>
    </row>
    <row r="8" spans="1:13" x14ac:dyDescent="0.3">
      <c r="D8" s="27" t="s">
        <v>21</v>
      </c>
      <c r="E8" s="31"/>
      <c r="F8" s="31"/>
      <c r="G8" s="31"/>
      <c r="H8" s="31"/>
      <c r="I8" s="31"/>
      <c r="J8" s="31"/>
    </row>
    <row r="9" spans="1:13" x14ac:dyDescent="0.3">
      <c r="A9" s="9" t="s">
        <v>3</v>
      </c>
      <c r="B9" s="10">
        <v>1000</v>
      </c>
    </row>
    <row r="10" spans="1:13" x14ac:dyDescent="0.3">
      <c r="A10" s="9" t="s">
        <v>4</v>
      </c>
      <c r="B10" s="10">
        <v>1600</v>
      </c>
      <c r="D10" s="24" t="s">
        <v>10</v>
      </c>
      <c r="E10" s="21" t="s">
        <v>22</v>
      </c>
      <c r="F10" s="8" t="s">
        <v>23</v>
      </c>
      <c r="G10" s="8" t="s">
        <v>24</v>
      </c>
      <c r="H10" s="8" t="s">
        <v>25</v>
      </c>
      <c r="I10" s="8" t="s">
        <v>26</v>
      </c>
      <c r="J10" s="8" t="s">
        <v>27</v>
      </c>
    </row>
    <row r="11" spans="1:13" x14ac:dyDescent="0.3">
      <c r="A11" s="9" t="s">
        <v>5</v>
      </c>
      <c r="B11" s="10">
        <v>1500</v>
      </c>
      <c r="D11" s="25">
        <v>1</v>
      </c>
      <c r="E11" s="22">
        <f>F2*$B$9</f>
        <v>40000</v>
      </c>
      <c r="F11" s="4">
        <f>G2*$B$10</f>
        <v>0</v>
      </c>
      <c r="G11" s="4">
        <f>E2*$B$11</f>
        <v>229500</v>
      </c>
      <c r="H11" s="4">
        <f>I2*$B$12</f>
        <v>23324</v>
      </c>
      <c r="I11" s="4">
        <f>$B$15+J2*$B$14</f>
        <v>30000</v>
      </c>
      <c r="J11" s="4">
        <f>H2*$B$13</f>
        <v>193890</v>
      </c>
    </row>
    <row r="12" spans="1:13" x14ac:dyDescent="0.3">
      <c r="A12" s="9" t="s">
        <v>6</v>
      </c>
      <c r="B12" s="10">
        <v>17</v>
      </c>
      <c r="D12" s="25">
        <v>2</v>
      </c>
      <c r="E12" s="22">
        <f>F3*$B$9</f>
        <v>0</v>
      </c>
      <c r="F12" s="4">
        <f>G3*$B$10</f>
        <v>48000</v>
      </c>
      <c r="G12" s="4">
        <f>E3*$B$11</f>
        <v>184500</v>
      </c>
      <c r="H12" s="4">
        <f>I3*$B$12</f>
        <v>0</v>
      </c>
      <c r="I12" s="4">
        <f>$B$15+J3*$B$14</f>
        <v>33080</v>
      </c>
      <c r="J12" s="4">
        <f>H3*$B$13</f>
        <v>106200</v>
      </c>
    </row>
    <row r="13" spans="1:13" x14ac:dyDescent="0.3">
      <c r="A13" s="9" t="s">
        <v>7</v>
      </c>
      <c r="B13" s="10">
        <v>30</v>
      </c>
      <c r="D13" s="25">
        <v>3</v>
      </c>
      <c r="E13" s="22">
        <f>F4*$B$9</f>
        <v>0</v>
      </c>
      <c r="F13" s="4">
        <f>G4*$B$10</f>
        <v>38400</v>
      </c>
      <c r="G13" s="4">
        <f>E4*$B$11</f>
        <v>148500</v>
      </c>
      <c r="H13" s="4">
        <f>I4*$B$12</f>
        <v>0</v>
      </c>
      <c r="I13" s="4">
        <f>$B$15+J4*$B$14</f>
        <v>30000</v>
      </c>
      <c r="J13" s="4">
        <f>H4*$B$13</f>
        <v>118800</v>
      </c>
    </row>
    <row r="14" spans="1:13" x14ac:dyDescent="0.3">
      <c r="A14" s="9" t="s">
        <v>8</v>
      </c>
      <c r="B14" s="10">
        <v>2</v>
      </c>
      <c r="D14" s="26">
        <v>4</v>
      </c>
      <c r="E14" s="22">
        <f>F5*$B$9</f>
        <v>0</v>
      </c>
      <c r="F14" s="4">
        <f>G5*$B$10</f>
        <v>0</v>
      </c>
      <c r="G14" s="4">
        <f>E5*$B$11</f>
        <v>148500</v>
      </c>
      <c r="H14" s="4">
        <f>I5*$B$12</f>
        <v>0</v>
      </c>
      <c r="I14" s="4">
        <f>$B$15+J5*$B$14</f>
        <v>31000</v>
      </c>
      <c r="J14" s="4">
        <f>H5*$B$13</f>
        <v>60000</v>
      </c>
    </row>
    <row r="15" spans="1:13" x14ac:dyDescent="0.3">
      <c r="A15" s="9" t="s">
        <v>9</v>
      </c>
      <c r="B15" s="10">
        <v>30000</v>
      </c>
      <c r="D15" s="23" t="s">
        <v>28</v>
      </c>
      <c r="E15" s="12">
        <f t="shared" ref="E15:J15" si="0">SUM(E11:E14)</f>
        <v>40000</v>
      </c>
      <c r="F15" s="12">
        <f t="shared" si="0"/>
        <v>86400</v>
      </c>
      <c r="G15" s="12">
        <f t="shared" si="0"/>
        <v>711000</v>
      </c>
      <c r="H15" s="12">
        <f t="shared" si="0"/>
        <v>23324</v>
      </c>
      <c r="I15" s="12">
        <f t="shared" si="0"/>
        <v>124080</v>
      </c>
      <c r="J15" s="12">
        <f t="shared" si="0"/>
        <v>478890</v>
      </c>
    </row>
    <row r="17" spans="1:21" x14ac:dyDescent="0.3">
      <c r="A17" s="27" t="s">
        <v>85</v>
      </c>
      <c r="B17" s="27"/>
      <c r="D17" s="28" t="s">
        <v>29</v>
      </c>
      <c r="E17" s="29"/>
      <c r="F17" s="29"/>
      <c r="G17" s="29"/>
      <c r="H17" s="29"/>
      <c r="I17" s="29"/>
      <c r="J17" s="29"/>
      <c r="K17" s="29"/>
      <c r="L17" s="30"/>
    </row>
    <row r="18" spans="1:21" x14ac:dyDescent="0.3">
      <c r="D18" s="16"/>
      <c r="E18" s="17"/>
      <c r="F18" s="17"/>
      <c r="G18" s="18" t="s">
        <v>76</v>
      </c>
      <c r="H18" s="18" t="s">
        <v>30</v>
      </c>
      <c r="I18" s="18" t="s">
        <v>31</v>
      </c>
      <c r="J18" s="17"/>
      <c r="K18" s="17"/>
      <c r="L18" s="19"/>
    </row>
    <row r="19" spans="1:21" x14ac:dyDescent="0.3">
      <c r="A19" s="6" t="s">
        <v>87</v>
      </c>
      <c r="B19" s="7">
        <v>113</v>
      </c>
      <c r="D19" s="32" t="s">
        <v>32</v>
      </c>
      <c r="E19" s="33"/>
      <c r="F19" s="33"/>
      <c r="G19" s="20">
        <f>E2</f>
        <v>153</v>
      </c>
      <c r="H19" s="20" t="s">
        <v>33</v>
      </c>
      <c r="I19" s="20">
        <f>B19+F2-G2</f>
        <v>153</v>
      </c>
      <c r="J19" s="33" t="s">
        <v>54</v>
      </c>
      <c r="K19" s="33"/>
      <c r="L19" s="34"/>
    </row>
    <row r="20" spans="1:21" x14ac:dyDescent="0.3">
      <c r="A20" s="6" t="s">
        <v>88</v>
      </c>
      <c r="B20" s="7">
        <v>537</v>
      </c>
      <c r="D20" s="32" t="s">
        <v>34</v>
      </c>
      <c r="E20" s="33"/>
      <c r="F20" s="33"/>
      <c r="G20" s="20">
        <f>E3</f>
        <v>123</v>
      </c>
      <c r="H20" s="20" t="s">
        <v>33</v>
      </c>
      <c r="I20" s="20">
        <f>E2+F3-G3</f>
        <v>123</v>
      </c>
      <c r="J20" s="33" t="s">
        <v>55</v>
      </c>
      <c r="K20" s="33"/>
      <c r="L20" s="34"/>
    </row>
    <row r="21" spans="1:21" x14ac:dyDescent="0.3">
      <c r="A21" s="6" t="s">
        <v>0</v>
      </c>
      <c r="B21" s="7">
        <v>500</v>
      </c>
      <c r="D21" s="32" t="s">
        <v>35</v>
      </c>
      <c r="E21" s="33"/>
      <c r="F21" s="33"/>
      <c r="G21" s="20">
        <f>E4</f>
        <v>99</v>
      </c>
      <c r="H21" s="20" t="s">
        <v>33</v>
      </c>
      <c r="I21" s="20">
        <f>E3+F4-G4</f>
        <v>99</v>
      </c>
      <c r="J21" s="33" t="s">
        <v>56</v>
      </c>
      <c r="K21" s="33"/>
      <c r="L21" s="34"/>
    </row>
    <row r="22" spans="1:21" x14ac:dyDescent="0.3">
      <c r="A22" s="6" t="s">
        <v>1</v>
      </c>
      <c r="B22" s="7">
        <v>160</v>
      </c>
      <c r="D22" s="32" t="s">
        <v>36</v>
      </c>
      <c r="E22" s="33"/>
      <c r="F22" s="33"/>
      <c r="G22" s="20">
        <f>E5</f>
        <v>99</v>
      </c>
      <c r="H22" s="20" t="s">
        <v>33</v>
      </c>
      <c r="I22" s="20">
        <f>E4+F5-G5</f>
        <v>99</v>
      </c>
      <c r="J22" s="33" t="s">
        <v>57</v>
      </c>
      <c r="K22" s="33"/>
      <c r="L22" s="34"/>
    </row>
    <row r="23" spans="1:21" x14ac:dyDescent="0.3">
      <c r="A23" s="6" t="s">
        <v>2</v>
      </c>
      <c r="B23" s="7">
        <v>10</v>
      </c>
      <c r="D23" s="32" t="s">
        <v>37</v>
      </c>
      <c r="E23" s="33"/>
      <c r="F23" s="33"/>
      <c r="G23" s="20">
        <f>J2</f>
        <v>0</v>
      </c>
      <c r="H23" s="20" t="s">
        <v>33</v>
      </c>
      <c r="I23" s="20">
        <f>B20+H2-B2</f>
        <v>0</v>
      </c>
      <c r="J23" s="33" t="s">
        <v>58</v>
      </c>
      <c r="K23" s="33"/>
      <c r="L23" s="34"/>
    </row>
    <row r="24" spans="1:21" x14ac:dyDescent="0.3">
      <c r="A24" s="9" t="s">
        <v>19</v>
      </c>
      <c r="B24" s="3">
        <v>4</v>
      </c>
      <c r="D24" s="32" t="s">
        <v>38</v>
      </c>
      <c r="E24" s="33"/>
      <c r="F24" s="33"/>
      <c r="G24" s="20">
        <f>J3</f>
        <v>1540</v>
      </c>
      <c r="H24" s="20" t="s">
        <v>33</v>
      </c>
      <c r="I24" s="20">
        <f>J2+H3-B3</f>
        <v>1540</v>
      </c>
      <c r="J24" s="33" t="s">
        <v>59</v>
      </c>
      <c r="K24" s="33"/>
      <c r="L24" s="34"/>
    </row>
    <row r="25" spans="1:21" x14ac:dyDescent="0.3">
      <c r="A25" s="6" t="s">
        <v>86</v>
      </c>
      <c r="B25" s="11">
        <v>0.2</v>
      </c>
      <c r="D25" s="32" t="s">
        <v>39</v>
      </c>
      <c r="E25" s="33"/>
      <c r="F25" s="33"/>
      <c r="G25" s="20">
        <f>J4</f>
        <v>0</v>
      </c>
      <c r="H25" s="20" t="s">
        <v>33</v>
      </c>
      <c r="I25" s="20">
        <f>J3+H4-B4</f>
        <v>0</v>
      </c>
      <c r="J25" s="33" t="s">
        <v>60</v>
      </c>
      <c r="K25" s="33"/>
      <c r="L25" s="34"/>
    </row>
    <row r="26" spans="1:21" x14ac:dyDescent="0.3">
      <c r="D26" s="32" t="s">
        <v>40</v>
      </c>
      <c r="E26" s="33"/>
      <c r="F26" s="33"/>
      <c r="G26" s="20">
        <f>J5</f>
        <v>500</v>
      </c>
      <c r="H26" s="20" t="s">
        <v>33</v>
      </c>
      <c r="I26" s="20">
        <f>J4+H5-B5</f>
        <v>500</v>
      </c>
      <c r="J26" s="33" t="s">
        <v>61</v>
      </c>
      <c r="K26" s="33"/>
      <c r="L26" s="34"/>
    </row>
    <row r="27" spans="1:21" x14ac:dyDescent="0.3">
      <c r="A27" s="9" t="s">
        <v>20</v>
      </c>
      <c r="B27" s="2">
        <f>SUM(F2:F5)*$B$9+SUM(G2:G5)*$B$10+SUM(E2:E5)*$B$11+SUM(I2:I5)*$B$12+SUM(H2:H5)*$B$13 +SUM(J2:J5)*$B$14 +4*$B$15</f>
        <v>1463694</v>
      </c>
      <c r="D27" s="32" t="s">
        <v>41</v>
      </c>
      <c r="E27" s="33"/>
      <c r="F27" s="33"/>
      <c r="G27" s="20">
        <f>H2</f>
        <v>6463</v>
      </c>
      <c r="H27" s="20" t="s">
        <v>77</v>
      </c>
      <c r="I27" s="20">
        <f>(E2*$B$22+I2)/$B$24</f>
        <v>6463</v>
      </c>
      <c r="J27" s="33" t="s">
        <v>62</v>
      </c>
      <c r="K27" s="33"/>
      <c r="L27" s="34"/>
      <c r="U27" s="13"/>
    </row>
    <row r="28" spans="1:21" x14ac:dyDescent="0.3">
      <c r="D28" s="32" t="s">
        <v>42</v>
      </c>
      <c r="E28" s="33"/>
      <c r="F28" s="33"/>
      <c r="G28" s="20">
        <f>H3</f>
        <v>3540</v>
      </c>
      <c r="H28" s="20" t="s">
        <v>77</v>
      </c>
      <c r="I28" s="20">
        <f>(E3*$B$22+I3)/$B$24</f>
        <v>4920</v>
      </c>
      <c r="J28" s="33" t="s">
        <v>63</v>
      </c>
      <c r="K28" s="33"/>
      <c r="L28" s="34"/>
    </row>
    <row r="29" spans="1:21" x14ac:dyDescent="0.3">
      <c r="D29" s="32" t="s">
        <v>43</v>
      </c>
      <c r="E29" s="33"/>
      <c r="F29" s="33"/>
      <c r="G29" s="20">
        <f>H4</f>
        <v>3960</v>
      </c>
      <c r="H29" s="20" t="s">
        <v>77</v>
      </c>
      <c r="I29" s="20">
        <f>(E4*$B$22+I4)/$B$24</f>
        <v>3960</v>
      </c>
      <c r="J29" s="33" t="s">
        <v>64</v>
      </c>
      <c r="K29" s="33"/>
      <c r="L29" s="34"/>
    </row>
    <row r="30" spans="1:21" x14ac:dyDescent="0.3">
      <c r="D30" s="32" t="s">
        <v>44</v>
      </c>
      <c r="E30" s="33"/>
      <c r="F30" s="33"/>
      <c r="G30" s="20">
        <f>H5</f>
        <v>2000</v>
      </c>
      <c r="H30" s="20" t="s">
        <v>77</v>
      </c>
      <c r="I30" s="20">
        <f>(E5*$B$22+I5)/$B$24</f>
        <v>3960</v>
      </c>
      <c r="J30" s="33" t="s">
        <v>65</v>
      </c>
      <c r="K30" s="33"/>
      <c r="L30" s="34"/>
    </row>
    <row r="31" spans="1:21" x14ac:dyDescent="0.3">
      <c r="D31" s="32" t="s">
        <v>45</v>
      </c>
      <c r="E31" s="33"/>
      <c r="F31" s="33"/>
      <c r="G31" s="20">
        <f>I2</f>
        <v>1372</v>
      </c>
      <c r="H31" s="20" t="s">
        <v>77</v>
      </c>
      <c r="I31" s="20">
        <f>$B$23*E2</f>
        <v>1530</v>
      </c>
      <c r="J31" s="33" t="s">
        <v>66</v>
      </c>
      <c r="K31" s="33"/>
      <c r="L31" s="34"/>
    </row>
    <row r="32" spans="1:21" x14ac:dyDescent="0.3">
      <c r="D32" s="32" t="s">
        <v>46</v>
      </c>
      <c r="E32" s="33"/>
      <c r="F32" s="33"/>
      <c r="G32" s="20">
        <f>I3</f>
        <v>0</v>
      </c>
      <c r="H32" s="20" t="s">
        <v>77</v>
      </c>
      <c r="I32" s="20">
        <f>$B$23*E3</f>
        <v>1230</v>
      </c>
      <c r="J32" s="33" t="s">
        <v>67</v>
      </c>
      <c r="K32" s="33"/>
      <c r="L32" s="34"/>
    </row>
    <row r="33" spans="4:12" x14ac:dyDescent="0.3">
      <c r="D33" s="32" t="s">
        <v>47</v>
      </c>
      <c r="E33" s="33"/>
      <c r="F33" s="33"/>
      <c r="G33" s="20">
        <f>I4</f>
        <v>0</v>
      </c>
      <c r="H33" s="20" t="s">
        <v>77</v>
      </c>
      <c r="I33" s="20">
        <f>$B$23*E4</f>
        <v>990</v>
      </c>
      <c r="J33" s="33" t="s">
        <v>68</v>
      </c>
      <c r="K33" s="33"/>
      <c r="L33" s="34"/>
    </row>
    <row r="34" spans="4:12" x14ac:dyDescent="0.3">
      <c r="D34" s="32" t="s">
        <v>48</v>
      </c>
      <c r="E34" s="33"/>
      <c r="F34" s="33"/>
      <c r="G34" s="20">
        <f>I5</f>
        <v>0</v>
      </c>
      <c r="H34" s="20" t="s">
        <v>77</v>
      </c>
      <c r="I34" s="20">
        <f>$B$23*E5</f>
        <v>990</v>
      </c>
      <c r="J34" s="33" t="s">
        <v>69</v>
      </c>
      <c r="K34" s="33"/>
      <c r="L34" s="34"/>
    </row>
    <row r="35" spans="4:12" x14ac:dyDescent="0.3">
      <c r="D35" s="32" t="s">
        <v>49</v>
      </c>
      <c r="E35" s="33"/>
      <c r="F35" s="33"/>
      <c r="G35" s="20">
        <f>G2</f>
        <v>0</v>
      </c>
      <c r="H35" s="20" t="s">
        <v>77</v>
      </c>
      <c r="I35" s="20">
        <f>0.2*B19</f>
        <v>22.6</v>
      </c>
      <c r="J35" s="33" t="s">
        <v>70</v>
      </c>
      <c r="K35" s="33"/>
      <c r="L35" s="34"/>
    </row>
    <row r="36" spans="4:12" x14ac:dyDescent="0.3">
      <c r="D36" s="32" t="s">
        <v>50</v>
      </c>
      <c r="E36" s="33"/>
      <c r="F36" s="33"/>
      <c r="G36" s="20">
        <f>G3</f>
        <v>30</v>
      </c>
      <c r="H36" s="20" t="s">
        <v>77</v>
      </c>
      <c r="I36" s="20">
        <f>0.2*E2</f>
        <v>30.6</v>
      </c>
      <c r="J36" s="33" t="s">
        <v>73</v>
      </c>
      <c r="K36" s="33"/>
      <c r="L36" s="34"/>
    </row>
    <row r="37" spans="4:12" x14ac:dyDescent="0.3">
      <c r="D37" s="32" t="s">
        <v>51</v>
      </c>
      <c r="E37" s="33"/>
      <c r="F37" s="33"/>
      <c r="G37" s="20">
        <f>G4</f>
        <v>24</v>
      </c>
      <c r="H37" s="20" t="s">
        <v>77</v>
      </c>
      <c r="I37" s="20">
        <f>0.2*E3</f>
        <v>24.6</v>
      </c>
      <c r="J37" s="33" t="s">
        <v>71</v>
      </c>
      <c r="K37" s="33"/>
      <c r="L37" s="34"/>
    </row>
    <row r="38" spans="4:12" x14ac:dyDescent="0.3">
      <c r="D38" s="32" t="s">
        <v>52</v>
      </c>
      <c r="E38" s="33"/>
      <c r="F38" s="33"/>
      <c r="G38" s="20">
        <f>G5</f>
        <v>0</v>
      </c>
      <c r="H38" s="20" t="s">
        <v>77</v>
      </c>
      <c r="I38" s="20">
        <f>0.2*E4</f>
        <v>19.8</v>
      </c>
      <c r="J38" s="33" t="s">
        <v>72</v>
      </c>
      <c r="K38" s="33"/>
      <c r="L38" s="34"/>
    </row>
    <row r="39" spans="4:12" x14ac:dyDescent="0.3">
      <c r="D39" s="32" t="s">
        <v>53</v>
      </c>
      <c r="E39" s="33"/>
      <c r="F39" s="33"/>
      <c r="G39" s="20">
        <f>J5</f>
        <v>500</v>
      </c>
      <c r="H39" s="20" t="s">
        <v>78</v>
      </c>
      <c r="I39" s="20">
        <f>B21</f>
        <v>500</v>
      </c>
      <c r="J39" s="33" t="s">
        <v>74</v>
      </c>
      <c r="K39" s="33"/>
      <c r="L39" s="34"/>
    </row>
    <row r="40" spans="4:12" x14ac:dyDescent="0.3">
      <c r="D40" s="14"/>
      <c r="E40" s="15"/>
      <c r="F40" s="15"/>
      <c r="G40" s="15"/>
      <c r="H40" s="15"/>
      <c r="I40" s="15"/>
      <c r="J40" s="35" t="s">
        <v>75</v>
      </c>
      <c r="K40" s="35"/>
      <c r="L40" s="36"/>
    </row>
  </sheetData>
  <mergeCells count="47">
    <mergeCell ref="D35:F35"/>
    <mergeCell ref="J35:L35"/>
    <mergeCell ref="D39:F39"/>
    <mergeCell ref="J39:L39"/>
    <mergeCell ref="J40:L40"/>
    <mergeCell ref="D36:F36"/>
    <mergeCell ref="J36:L36"/>
    <mergeCell ref="D37:F37"/>
    <mergeCell ref="J37:L37"/>
    <mergeCell ref="D38:F38"/>
    <mergeCell ref="J38:L38"/>
    <mergeCell ref="D32:F32"/>
    <mergeCell ref="J32:L32"/>
    <mergeCell ref="D33:F33"/>
    <mergeCell ref="J33:L33"/>
    <mergeCell ref="D34:F34"/>
    <mergeCell ref="J34:L34"/>
    <mergeCell ref="D29:F29"/>
    <mergeCell ref="J29:L29"/>
    <mergeCell ref="D30:F30"/>
    <mergeCell ref="J30:L30"/>
    <mergeCell ref="D31:F31"/>
    <mergeCell ref="J31:L31"/>
    <mergeCell ref="D26:F26"/>
    <mergeCell ref="J26:L26"/>
    <mergeCell ref="D27:F27"/>
    <mergeCell ref="J27:L27"/>
    <mergeCell ref="D28:F28"/>
    <mergeCell ref="J28:L28"/>
    <mergeCell ref="D23:F23"/>
    <mergeCell ref="J23:L23"/>
    <mergeCell ref="D24:F24"/>
    <mergeCell ref="J24:L24"/>
    <mergeCell ref="D25:F25"/>
    <mergeCell ref="J25:L25"/>
    <mergeCell ref="D20:F20"/>
    <mergeCell ref="J20:L20"/>
    <mergeCell ref="D21:F21"/>
    <mergeCell ref="J21:L21"/>
    <mergeCell ref="D22:F22"/>
    <mergeCell ref="J22:L22"/>
    <mergeCell ref="A7:B7"/>
    <mergeCell ref="A17:B17"/>
    <mergeCell ref="D17:L17"/>
    <mergeCell ref="D8:J8"/>
    <mergeCell ref="D19:F19"/>
    <mergeCell ref="J19:L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Thi Hong Hanh</dc:creator>
  <cp:lastModifiedBy>Nguyen Thi Hong Hanh</cp:lastModifiedBy>
  <dcterms:created xsi:type="dcterms:W3CDTF">2025-11-28T08:34:31Z</dcterms:created>
  <dcterms:modified xsi:type="dcterms:W3CDTF">2025-12-05T09:55:10Z</dcterms:modified>
</cp:coreProperties>
</file>